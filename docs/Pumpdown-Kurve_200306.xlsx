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22380" windowHeight="12285"/>
  </bookViews>
  <sheets>
    <sheet name="Tabelle1" sheetId="1" r:id="rId1"/>
    <sheet name="Tabelle2" sheetId="2" r:id="rId2"/>
    <sheet name="Tabelle3" sheetId="3" r:id="rId3"/>
  </sheets>
  <calcPr calcId="145621"/>
</workbook>
</file>

<file path=xl/calcChain.xml><?xml version="1.0" encoding="utf-8"?>
<calcChain xmlns="http://schemas.openxmlformats.org/spreadsheetml/2006/main">
  <c r="G5" i="1" l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4" i="1"/>
  <c r="B7" i="1"/>
  <c r="B6" i="1"/>
  <c r="B5" i="1"/>
  <c r="B4" i="1"/>
</calcChain>
</file>

<file path=xl/sharedStrings.xml><?xml version="1.0" encoding="utf-8"?>
<sst xmlns="http://schemas.openxmlformats.org/spreadsheetml/2006/main" count="7" uniqueCount="7">
  <si>
    <t>Startzeitpunkt: 06.03.2020 ca. 12:18 (Beginn Logfile, erster Messwert &lt;1000 mbar 12:22:15, dies tritt wegen der Ungenauigkeit der Piranis aber immer deutlich verzögert ab)</t>
  </si>
  <si>
    <t>P_Center [mbar]</t>
  </si>
  <si>
    <t>P_Door [mbar]</t>
  </si>
  <si>
    <t>P_BA [mbar]</t>
  </si>
  <si>
    <t>Elapsed time [h]</t>
  </si>
  <si>
    <t>P_averaged [mbar]</t>
  </si>
  <si>
    <t>P_averaged [Pa]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</si>
</sst>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2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Pumpdown</a:t>
            </a:r>
            <a:r>
              <a:rPr lang="en-US" baseline="0"/>
              <a:t> Jumbo</a:t>
            </a:r>
            <a:endParaRPr lang="en-US"/>
          </a:p>
        </c:rich>
      </c:tx>
      <c:layout/>
      <c:overlay val="0"/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Tabelle1!$F$3</c:f>
              <c:strCache>
                <c:ptCount val="1"/>
                <c:pt idx="0">
                  <c:v>P_averaged [mbar]</c:v>
                </c:pt>
              </c:strCache>
            </c:strRef>
          </c:tx>
          <c:xVal>
            <c:numRef>
              <c:f>Tabelle1!$B$4:$B$31</c:f>
              <c:numCache>
                <c:formatCode>General</c:formatCode>
                <c:ptCount val="28"/>
                <c:pt idx="0">
                  <c:v>8.3333333333333329E-2</c:v>
                </c:pt>
                <c:pt idx="1">
                  <c:v>0.16666666666666666</c:v>
                </c:pt>
                <c:pt idx="2">
                  <c:v>0.25</c:v>
                </c:pt>
                <c:pt idx="3">
                  <c:v>0.33333333333333331</c:v>
                </c:pt>
                <c:pt idx="4" formatCode="0.00">
                  <c:v>0.5</c:v>
                </c:pt>
                <c:pt idx="5">
                  <c:v>0.75</c:v>
                </c:pt>
                <c:pt idx="6">
                  <c:v>1</c:v>
                </c:pt>
                <c:pt idx="7">
                  <c:v>1.5</c:v>
                </c:pt>
                <c:pt idx="8">
                  <c:v>2</c:v>
                </c:pt>
                <c:pt idx="9">
                  <c:v>3</c:v>
                </c:pt>
                <c:pt idx="10">
                  <c:v>4</c:v>
                </c:pt>
                <c:pt idx="11">
                  <c:v>5</c:v>
                </c:pt>
                <c:pt idx="12">
                  <c:v>7</c:v>
                </c:pt>
                <c:pt idx="13">
                  <c:v>9</c:v>
                </c:pt>
                <c:pt idx="14">
                  <c:v>11</c:v>
                </c:pt>
                <c:pt idx="15">
                  <c:v>14</c:v>
                </c:pt>
                <c:pt idx="16">
                  <c:v>17</c:v>
                </c:pt>
                <c:pt idx="17">
                  <c:v>20</c:v>
                </c:pt>
                <c:pt idx="18">
                  <c:v>23</c:v>
                </c:pt>
                <c:pt idx="19">
                  <c:v>26</c:v>
                </c:pt>
                <c:pt idx="20">
                  <c:v>29</c:v>
                </c:pt>
                <c:pt idx="21">
                  <c:v>34</c:v>
                </c:pt>
                <c:pt idx="22">
                  <c:v>39</c:v>
                </c:pt>
                <c:pt idx="23">
                  <c:v>44</c:v>
                </c:pt>
                <c:pt idx="24">
                  <c:v>49</c:v>
                </c:pt>
                <c:pt idx="25">
                  <c:v>54</c:v>
                </c:pt>
                <c:pt idx="26">
                  <c:v>59</c:v>
                </c:pt>
                <c:pt idx="27">
                  <c:v>64</c:v>
                </c:pt>
              </c:numCache>
            </c:numRef>
          </c:xVal>
          <c:yVal>
            <c:numRef>
              <c:f>Tabelle1!$F$4:$F$31</c:f>
              <c:numCache>
                <c:formatCode>0.00E+00</c:formatCode>
                <c:ptCount val="28"/>
                <c:pt idx="0">
                  <c:v>697</c:v>
                </c:pt>
                <c:pt idx="1">
                  <c:v>48.566666666666663</c:v>
                </c:pt>
                <c:pt idx="2">
                  <c:v>0.45</c:v>
                </c:pt>
                <c:pt idx="3">
                  <c:v>2.2966666666666666E-2</c:v>
                </c:pt>
                <c:pt idx="4">
                  <c:v>4.4733333333333327E-4</c:v>
                </c:pt>
                <c:pt idx="5">
                  <c:v>1.0609999999999999E-4</c:v>
                </c:pt>
                <c:pt idx="6">
                  <c:v>6.8866666666666656E-5</c:v>
                </c:pt>
                <c:pt idx="7">
                  <c:v>4.2866666666666667E-5</c:v>
                </c:pt>
                <c:pt idx="8">
                  <c:v>3.0733333333333333E-5</c:v>
                </c:pt>
                <c:pt idx="9">
                  <c:v>2.0633333333333335E-5</c:v>
                </c:pt>
                <c:pt idx="10">
                  <c:v>1.5700000000000002E-5</c:v>
                </c:pt>
                <c:pt idx="11">
                  <c:v>1.2766666666666666E-5</c:v>
                </c:pt>
                <c:pt idx="12">
                  <c:v>9.5800000000000015E-6</c:v>
                </c:pt>
                <c:pt idx="13">
                  <c:v>7.6166666666666669E-6</c:v>
                </c:pt>
                <c:pt idx="14">
                  <c:v>6.4766666666666676E-6</c:v>
                </c:pt>
                <c:pt idx="15">
                  <c:v>5.1966666666666663E-6</c:v>
                </c:pt>
                <c:pt idx="16">
                  <c:v>4.4766666666666664E-6</c:v>
                </c:pt>
                <c:pt idx="17">
                  <c:v>3.9999999999999998E-6</c:v>
                </c:pt>
                <c:pt idx="18">
                  <c:v>3.5733333333333331E-6</c:v>
                </c:pt>
                <c:pt idx="19">
                  <c:v>3.2599999999999997E-6</c:v>
                </c:pt>
                <c:pt idx="20">
                  <c:v>3.01E-6</c:v>
                </c:pt>
                <c:pt idx="21">
                  <c:v>2.7766666666666666E-6</c:v>
                </c:pt>
                <c:pt idx="22">
                  <c:v>2.4233333333333331E-6</c:v>
                </c:pt>
                <c:pt idx="23">
                  <c:v>2.2799999999999998E-6</c:v>
                </c:pt>
                <c:pt idx="24">
                  <c:v>2.1333333333333334E-6</c:v>
                </c:pt>
                <c:pt idx="25">
                  <c:v>2.0166666666666667E-6</c:v>
                </c:pt>
                <c:pt idx="26">
                  <c:v>1.8999999999999998E-6</c:v>
                </c:pt>
                <c:pt idx="27">
                  <c:v>1.84E-6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8181760"/>
        <c:axId val="108180224"/>
      </c:scatterChart>
      <c:valAx>
        <c:axId val="10818176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Elapsed time [h]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108180224"/>
        <c:crossesAt val="1.0000000000000004E-6"/>
        <c:crossBetween val="midCat"/>
      </c:valAx>
      <c:valAx>
        <c:axId val="108180224"/>
        <c:scaling>
          <c:logBase val="10"/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P_averaged</a:t>
                </a:r>
                <a:r>
                  <a:rPr lang="en-US" baseline="0"/>
                  <a:t> [mbar]</a:t>
                </a:r>
                <a:endParaRPr lang="en-US"/>
              </a:p>
            </c:rich>
          </c:tx>
          <c:layout/>
          <c:overlay val="0"/>
        </c:title>
        <c:numFmt formatCode="0.00E+00" sourceLinked="1"/>
        <c:majorTickMark val="out"/>
        <c:minorTickMark val="none"/>
        <c:tickLblPos val="nextTo"/>
        <c:crossAx val="108181760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8740157499999996" l="0.7" r="0.7" t="0.78740157499999996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323849</xdr:colOff>
      <xdr:row>10</xdr:row>
      <xdr:rowOff>152399</xdr:rowOff>
    </xdr:from>
    <xdr:to>
      <xdr:col>21</xdr:col>
      <xdr:colOff>171450</xdr:colOff>
      <xdr:row>31</xdr:row>
      <xdr:rowOff>28575</xdr:rowOff>
    </xdr:to>
    <xdr:graphicFrame macro="">
      <xdr:nvGraphicFramePr>
        <xdr:cNvPr id="2" name="Diagramm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1"/>
  <sheetViews>
    <sheetView tabSelected="1" topLeftCell="B1" workbookViewId="0">
      <selection activeCell="O38" sqref="O38"/>
    </sheetView>
  </sheetViews>
  <sheetFormatPr baseColWidth="10" defaultColWidth="9.140625" defaultRowHeight="15" x14ac:dyDescent="0.25"/>
  <cols>
    <col min="1" max="1" width="27.140625" customWidth="1"/>
    <col min="2" max="2" width="23.7109375" customWidth="1"/>
    <col min="3" max="3" width="19" customWidth="1"/>
    <col min="4" max="4" width="16.7109375" customWidth="1"/>
    <col min="5" max="5" width="20.28515625" customWidth="1"/>
    <col min="6" max="6" width="27.140625" customWidth="1"/>
    <col min="7" max="7" width="23.28515625" customWidth="1"/>
  </cols>
  <sheetData>
    <row r="1" spans="1:7" x14ac:dyDescent="0.25">
      <c r="A1" t="s">
        <v>0</v>
      </c>
    </row>
    <row r="3" spans="1:7" x14ac:dyDescent="0.25">
      <c r="B3" t="s">
        <v>4</v>
      </c>
      <c r="C3" t="s">
        <v>1</v>
      </c>
      <c r="D3" t="s">
        <v>2</v>
      </c>
      <c r="E3" t="s">
        <v>3</v>
      </c>
      <c r="F3" t="s">
        <v>5</v>
      </c>
      <c r="G3" t="s">
        <v>6</v>
      </c>
    </row>
    <row r="4" spans="1:7" x14ac:dyDescent="0.25">
      <c r="B4">
        <f>1/12</f>
        <v>8.3333333333333329E-2</v>
      </c>
      <c r="C4" s="1">
        <v>572</v>
      </c>
      <c r="D4" s="1">
        <v>523</v>
      </c>
      <c r="E4" s="1">
        <v>996</v>
      </c>
      <c r="F4" s="1">
        <f>SUM(C4:E4)/3</f>
        <v>697</v>
      </c>
      <c r="G4" s="1">
        <f>$F4*100</f>
        <v>69700</v>
      </c>
    </row>
    <row r="5" spans="1:7" x14ac:dyDescent="0.25">
      <c r="B5">
        <f>1/6</f>
        <v>0.16666666666666666</v>
      </c>
      <c r="C5" s="1">
        <v>42.2</v>
      </c>
      <c r="D5" s="1">
        <v>42.3</v>
      </c>
      <c r="E5" s="1">
        <v>61.2</v>
      </c>
      <c r="F5" s="1">
        <f t="shared" ref="F5:F31" si="0">SUM(C5:E5)/3</f>
        <v>48.566666666666663</v>
      </c>
      <c r="G5" s="1">
        <f t="shared" ref="G5:G31" si="1">$F5*100</f>
        <v>4856.6666666666661</v>
      </c>
    </row>
    <row r="6" spans="1:7" x14ac:dyDescent="0.25">
      <c r="B6">
        <f>1/4</f>
        <v>0.25</v>
      </c>
      <c r="C6" s="1">
        <v>0.44900000000000001</v>
      </c>
      <c r="D6" s="1">
        <v>0.42899999999999999</v>
      </c>
      <c r="E6" s="1">
        <v>0.47199999999999998</v>
      </c>
      <c r="F6" s="1">
        <f t="shared" si="0"/>
        <v>0.45</v>
      </c>
      <c r="G6" s="1">
        <f t="shared" si="1"/>
        <v>45</v>
      </c>
    </row>
    <row r="7" spans="1:7" x14ac:dyDescent="0.25">
      <c r="B7">
        <f>1/3</f>
        <v>0.33333333333333331</v>
      </c>
      <c r="C7" s="1">
        <v>2.6599999999999999E-2</v>
      </c>
      <c r="D7" s="1">
        <v>2.47E-2</v>
      </c>
      <c r="E7" s="1">
        <v>1.7600000000000001E-2</v>
      </c>
      <c r="F7" s="1">
        <f t="shared" si="0"/>
        <v>2.2966666666666666E-2</v>
      </c>
      <c r="G7" s="1">
        <f t="shared" si="1"/>
        <v>2.2966666666666669</v>
      </c>
    </row>
    <row r="8" spans="1:7" x14ac:dyDescent="0.25">
      <c r="B8" s="2">
        <v>0.5</v>
      </c>
      <c r="C8" s="1">
        <v>5.2599999999999999E-4</v>
      </c>
      <c r="D8" s="1">
        <v>4.8200000000000001E-4</v>
      </c>
      <c r="E8" s="1">
        <v>3.3399999999999999E-4</v>
      </c>
      <c r="F8" s="1">
        <f t="shared" si="0"/>
        <v>4.4733333333333327E-4</v>
      </c>
      <c r="G8" s="1">
        <f t="shared" si="1"/>
        <v>4.4733333333333326E-2</v>
      </c>
    </row>
    <row r="9" spans="1:7" x14ac:dyDescent="0.25">
      <c r="B9">
        <v>0.75</v>
      </c>
      <c r="C9" s="1">
        <v>1.13E-4</v>
      </c>
      <c r="D9" s="1">
        <v>1.12E-4</v>
      </c>
      <c r="E9" s="1">
        <v>9.3300000000000005E-5</v>
      </c>
      <c r="F9" s="1">
        <f t="shared" si="0"/>
        <v>1.0609999999999999E-4</v>
      </c>
      <c r="G9" s="1">
        <f t="shared" si="1"/>
        <v>1.061E-2</v>
      </c>
    </row>
    <row r="10" spans="1:7" x14ac:dyDescent="0.25">
      <c r="B10">
        <v>1</v>
      </c>
      <c r="C10" s="1">
        <v>6.7700000000000006E-5</v>
      </c>
      <c r="D10" s="1">
        <v>7.6799999999999997E-5</v>
      </c>
      <c r="E10" s="1">
        <v>6.2100000000000005E-5</v>
      </c>
      <c r="F10" s="1">
        <f t="shared" si="0"/>
        <v>6.8866666666666656E-5</v>
      </c>
      <c r="G10" s="1">
        <f t="shared" si="1"/>
        <v>6.8866666666666659E-3</v>
      </c>
    </row>
    <row r="11" spans="1:7" x14ac:dyDescent="0.25">
      <c r="B11">
        <v>1.5</v>
      </c>
      <c r="C11" s="1">
        <v>4.1300000000000001E-5</v>
      </c>
      <c r="D11" s="1">
        <v>4.74E-5</v>
      </c>
      <c r="E11" s="1">
        <v>3.9900000000000001E-5</v>
      </c>
      <c r="F11" s="1">
        <f t="shared" si="0"/>
        <v>4.2866666666666667E-5</v>
      </c>
      <c r="G11" s="1">
        <f t="shared" si="1"/>
        <v>4.2866666666666669E-3</v>
      </c>
    </row>
    <row r="12" spans="1:7" x14ac:dyDescent="0.25">
      <c r="B12">
        <v>2</v>
      </c>
      <c r="C12" s="1">
        <v>2.9799999999999999E-5</v>
      </c>
      <c r="D12" s="1">
        <v>3.2799999999999998E-5</v>
      </c>
      <c r="E12" s="1">
        <v>2.9600000000000001E-5</v>
      </c>
      <c r="F12" s="1">
        <f t="shared" si="0"/>
        <v>3.0733333333333333E-5</v>
      </c>
      <c r="G12" s="1">
        <f t="shared" si="1"/>
        <v>3.0733333333333333E-3</v>
      </c>
    </row>
    <row r="13" spans="1:7" x14ac:dyDescent="0.25">
      <c r="B13">
        <v>3</v>
      </c>
      <c r="C13" s="1">
        <v>2.02E-5</v>
      </c>
      <c r="D13" s="1">
        <v>2.1500000000000001E-5</v>
      </c>
      <c r="E13" s="1">
        <v>2.02E-5</v>
      </c>
      <c r="F13" s="1">
        <f t="shared" si="0"/>
        <v>2.0633333333333335E-5</v>
      </c>
      <c r="G13" s="1">
        <f t="shared" si="1"/>
        <v>2.0633333333333333E-3</v>
      </c>
    </row>
    <row r="14" spans="1:7" x14ac:dyDescent="0.25">
      <c r="B14">
        <v>4</v>
      </c>
      <c r="C14" s="1">
        <v>1.5099999999999999E-5</v>
      </c>
      <c r="D14" s="1">
        <v>1.6500000000000001E-5</v>
      </c>
      <c r="E14" s="1">
        <v>1.5500000000000001E-5</v>
      </c>
      <c r="F14" s="1">
        <f t="shared" si="0"/>
        <v>1.5700000000000002E-5</v>
      </c>
      <c r="G14" s="1">
        <f t="shared" si="1"/>
        <v>1.5700000000000002E-3</v>
      </c>
    </row>
    <row r="15" spans="1:7" x14ac:dyDescent="0.25">
      <c r="B15">
        <v>5</v>
      </c>
      <c r="C15" s="1">
        <v>1.2099999999999999E-5</v>
      </c>
      <c r="D15" s="1">
        <v>1.3499999999999999E-5</v>
      </c>
      <c r="E15" s="1">
        <v>1.27E-5</v>
      </c>
      <c r="F15" s="1">
        <f t="shared" si="0"/>
        <v>1.2766666666666666E-5</v>
      </c>
      <c r="G15" s="1">
        <f t="shared" si="1"/>
        <v>1.2766666666666666E-3</v>
      </c>
    </row>
    <row r="16" spans="1:7" x14ac:dyDescent="0.25">
      <c r="B16">
        <v>7</v>
      </c>
      <c r="C16" s="1">
        <v>9.2199999999999998E-6</v>
      </c>
      <c r="D16" s="1">
        <v>1.0000000000000001E-5</v>
      </c>
      <c r="E16" s="1">
        <v>9.5200000000000003E-6</v>
      </c>
      <c r="F16" s="1">
        <f t="shared" si="0"/>
        <v>9.5800000000000015E-6</v>
      </c>
      <c r="G16" s="1">
        <f t="shared" si="1"/>
        <v>9.5800000000000019E-4</v>
      </c>
    </row>
    <row r="17" spans="2:7" x14ac:dyDescent="0.25">
      <c r="B17">
        <v>9</v>
      </c>
      <c r="C17" s="1">
        <v>7.1999999999999997E-6</v>
      </c>
      <c r="D17" s="1">
        <v>7.96E-6</v>
      </c>
      <c r="E17" s="1">
        <v>7.6899999999999992E-6</v>
      </c>
      <c r="F17" s="1">
        <f t="shared" si="0"/>
        <v>7.6166666666666669E-6</v>
      </c>
      <c r="G17" s="1">
        <f t="shared" si="1"/>
        <v>7.6166666666666668E-4</v>
      </c>
    </row>
    <row r="18" spans="2:7" x14ac:dyDescent="0.25">
      <c r="B18">
        <v>11</v>
      </c>
      <c r="C18" s="1">
        <v>6.0599999999999996E-6</v>
      </c>
      <c r="D18" s="1">
        <v>6.6900000000000003E-6</v>
      </c>
      <c r="E18" s="1">
        <v>6.6800000000000004E-6</v>
      </c>
      <c r="F18" s="1">
        <f t="shared" si="0"/>
        <v>6.4766666666666676E-6</v>
      </c>
      <c r="G18" s="1">
        <f t="shared" si="1"/>
        <v>6.4766666666666672E-4</v>
      </c>
    </row>
    <row r="19" spans="2:7" x14ac:dyDescent="0.25">
      <c r="B19">
        <v>14</v>
      </c>
      <c r="C19" s="1">
        <v>4.7700000000000001E-6</v>
      </c>
      <c r="D19" s="1">
        <v>5.31E-6</v>
      </c>
      <c r="E19" s="1">
        <v>5.5099999999999998E-6</v>
      </c>
      <c r="F19" s="1">
        <f t="shared" si="0"/>
        <v>5.1966666666666663E-6</v>
      </c>
      <c r="G19" s="1">
        <f t="shared" si="1"/>
        <v>5.1966666666666665E-4</v>
      </c>
    </row>
    <row r="20" spans="2:7" x14ac:dyDescent="0.25">
      <c r="B20">
        <v>17</v>
      </c>
      <c r="C20" s="1">
        <v>4.16E-6</v>
      </c>
      <c r="D20" s="1">
        <v>4.5199999999999999E-6</v>
      </c>
      <c r="E20" s="1">
        <v>4.7500000000000003E-6</v>
      </c>
      <c r="F20" s="1">
        <f t="shared" si="0"/>
        <v>4.4766666666666664E-6</v>
      </c>
      <c r="G20" s="1">
        <f t="shared" si="1"/>
        <v>4.4766666666666663E-4</v>
      </c>
    </row>
    <row r="21" spans="2:7" x14ac:dyDescent="0.25">
      <c r="B21">
        <v>20</v>
      </c>
      <c r="C21" s="1">
        <v>3.7100000000000001E-6</v>
      </c>
      <c r="D21" s="1">
        <v>3.9600000000000002E-6</v>
      </c>
      <c r="E21" s="1">
        <v>4.33E-6</v>
      </c>
      <c r="F21" s="1">
        <f t="shared" si="0"/>
        <v>3.9999999999999998E-6</v>
      </c>
      <c r="G21" s="1">
        <f t="shared" si="1"/>
        <v>3.9999999999999996E-4</v>
      </c>
    </row>
    <row r="22" spans="2:7" x14ac:dyDescent="0.25">
      <c r="B22">
        <v>23</v>
      </c>
      <c r="C22" s="1">
        <v>3.3400000000000002E-6</v>
      </c>
      <c r="D22" s="1">
        <v>3.54E-6</v>
      </c>
      <c r="E22" s="1">
        <v>3.8399999999999997E-6</v>
      </c>
      <c r="F22" s="1">
        <f t="shared" si="0"/>
        <v>3.5733333333333331E-6</v>
      </c>
      <c r="G22" s="1">
        <f t="shared" si="1"/>
        <v>3.5733333333333331E-4</v>
      </c>
    </row>
    <row r="23" spans="2:7" x14ac:dyDescent="0.25">
      <c r="B23">
        <v>26</v>
      </c>
      <c r="C23" s="1">
        <v>3.0599999999999999E-6</v>
      </c>
      <c r="D23" s="1">
        <v>3.2100000000000002E-6</v>
      </c>
      <c r="E23" s="1">
        <v>3.5099999999999999E-6</v>
      </c>
      <c r="F23" s="1">
        <f t="shared" si="0"/>
        <v>3.2599999999999997E-6</v>
      </c>
      <c r="G23" s="1">
        <f t="shared" si="1"/>
        <v>3.2599999999999996E-4</v>
      </c>
    </row>
    <row r="24" spans="2:7" x14ac:dyDescent="0.25">
      <c r="B24">
        <v>29</v>
      </c>
      <c r="C24" s="1">
        <v>2.8399999999999999E-6</v>
      </c>
      <c r="D24" s="1">
        <v>2.9500000000000001E-6</v>
      </c>
      <c r="E24" s="1">
        <v>3.2399999999999999E-6</v>
      </c>
      <c r="F24" s="1">
        <f t="shared" si="0"/>
        <v>3.01E-6</v>
      </c>
      <c r="G24" s="1">
        <f t="shared" si="1"/>
        <v>3.01E-4</v>
      </c>
    </row>
    <row r="25" spans="2:7" x14ac:dyDescent="0.25">
      <c r="B25">
        <v>34</v>
      </c>
      <c r="C25" s="1">
        <v>2.61E-6</v>
      </c>
      <c r="D25" s="1">
        <v>2.7099999999999999E-6</v>
      </c>
      <c r="E25" s="1">
        <v>3.01E-6</v>
      </c>
      <c r="F25" s="1">
        <f t="shared" si="0"/>
        <v>2.7766666666666666E-6</v>
      </c>
      <c r="G25" s="1">
        <f t="shared" si="1"/>
        <v>2.7766666666666668E-4</v>
      </c>
    </row>
    <row r="26" spans="2:7" x14ac:dyDescent="0.25">
      <c r="B26">
        <v>39</v>
      </c>
      <c r="C26" s="1">
        <v>2.3199999999999998E-6</v>
      </c>
      <c r="D26" s="1">
        <v>2.2500000000000001E-6</v>
      </c>
      <c r="E26" s="1">
        <v>2.7E-6</v>
      </c>
      <c r="F26" s="1">
        <f t="shared" si="0"/>
        <v>2.4233333333333331E-6</v>
      </c>
      <c r="G26" s="1">
        <f t="shared" si="1"/>
        <v>2.4233333333333331E-4</v>
      </c>
    </row>
    <row r="27" spans="2:7" x14ac:dyDescent="0.25">
      <c r="B27">
        <v>44</v>
      </c>
      <c r="C27" s="1">
        <v>2.1799999999999999E-6</v>
      </c>
      <c r="D27" s="1">
        <v>2.1299999999999999E-6</v>
      </c>
      <c r="E27" s="1">
        <v>2.5299999999999999E-6</v>
      </c>
      <c r="F27" s="1">
        <f t="shared" si="0"/>
        <v>2.2799999999999998E-6</v>
      </c>
      <c r="G27" s="1">
        <f t="shared" si="1"/>
        <v>2.2799999999999999E-4</v>
      </c>
    </row>
    <row r="28" spans="2:7" x14ac:dyDescent="0.25">
      <c r="B28">
        <v>49</v>
      </c>
      <c r="C28" s="1">
        <v>2.0600000000000002E-6</v>
      </c>
      <c r="D28" s="1">
        <v>1.99E-6</v>
      </c>
      <c r="E28" s="1">
        <v>2.3499999999999999E-6</v>
      </c>
      <c r="F28" s="1">
        <f t="shared" si="0"/>
        <v>2.1333333333333334E-6</v>
      </c>
      <c r="G28" s="1">
        <f t="shared" si="1"/>
        <v>2.1333333333333333E-4</v>
      </c>
    </row>
    <row r="29" spans="2:7" x14ac:dyDescent="0.25">
      <c r="B29">
        <v>54</v>
      </c>
      <c r="C29" s="1">
        <v>1.9400000000000001E-6</v>
      </c>
      <c r="D29" s="1">
        <v>1.8700000000000001E-6</v>
      </c>
      <c r="E29" s="1">
        <v>2.2400000000000002E-6</v>
      </c>
      <c r="F29" s="1">
        <f t="shared" si="0"/>
        <v>2.0166666666666667E-6</v>
      </c>
      <c r="G29" s="1">
        <f t="shared" si="1"/>
        <v>2.0166666666666667E-4</v>
      </c>
    </row>
    <row r="30" spans="2:7" x14ac:dyDescent="0.25">
      <c r="B30">
        <v>59</v>
      </c>
      <c r="C30" s="1">
        <v>1.8300000000000001E-6</v>
      </c>
      <c r="D30" s="1">
        <v>1.77E-6</v>
      </c>
      <c r="E30" s="1">
        <v>2.0999999999999998E-6</v>
      </c>
      <c r="F30" s="1">
        <f t="shared" si="0"/>
        <v>1.8999999999999998E-6</v>
      </c>
      <c r="G30" s="1">
        <f t="shared" si="1"/>
        <v>1.8999999999999998E-4</v>
      </c>
    </row>
    <row r="31" spans="2:7" x14ac:dyDescent="0.25">
      <c r="B31">
        <v>64</v>
      </c>
      <c r="C31" s="1">
        <v>1.7799999999999999E-6</v>
      </c>
      <c r="D31" s="1">
        <v>1.7099999999999999E-6</v>
      </c>
      <c r="E31" s="1">
        <v>2.03E-6</v>
      </c>
      <c r="F31" s="1">
        <f t="shared" si="0"/>
        <v>1.84E-6</v>
      </c>
      <c r="G31" s="1">
        <f t="shared" si="1"/>
        <v>1.84E-4</v>
      </c>
    </row>
  </sheetData>
  <pageMargins left="0.7" right="0.7" top="0.75" bottom="0.75" header="0.3" footer="0.3"/>
  <pageSetup paperSize="9"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Tabelle1</vt:lpstr>
      <vt:lpstr>Tabelle2</vt:lpstr>
      <vt:lpstr>Tabelle3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2020-03-09T06:34:40Z</dcterms:modified>
</cp:coreProperties>
</file>